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7"/>
  <workbookPr/>
  <mc:AlternateContent xmlns:mc="http://schemas.openxmlformats.org/markup-compatibility/2006">
    <mc:Choice Requires="x15">
      <x15ac:absPath xmlns:x15ac="http://schemas.microsoft.com/office/spreadsheetml/2010/11/ac" url="/Users/annacerato/Modelling _for_Transitions/P06_STUDENT/"/>
    </mc:Choice>
  </mc:AlternateContent>
  <xr:revisionPtr revIDLastSave="0" documentId="8_{66C8799B-78A8-6642-B161-1F9CC1867E0C}" xr6:coauthVersionLast="47" xr6:coauthVersionMax="47" xr10:uidLastSave="{00000000-0000-0000-0000-000000000000}"/>
  <bookViews>
    <workbookView xWindow="3560" yWindow="600" windowWidth="13660" windowHeight="15720" activeTab="2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4" i="3"/>
  <c r="E21" i="3"/>
  <c r="E20" i="3"/>
  <c r="E17" i="3"/>
  <c r="E18" i="3"/>
  <c r="E19" i="3"/>
  <c r="E16" i="3"/>
  <c r="D17" i="3"/>
  <c r="D18" i="3"/>
  <c r="D19" i="3"/>
  <c r="D20" i="3"/>
  <c r="D21" i="3"/>
  <c r="D16" i="3"/>
  <c r="E9" i="3"/>
  <c r="E8" i="3"/>
  <c r="E3" i="3"/>
  <c r="E2" i="3"/>
  <c r="E6" i="3"/>
  <c r="E10" i="3"/>
  <c r="E12" i="3"/>
  <c r="E14" i="3"/>
  <c r="E15" i="3"/>
  <c r="E13" i="3"/>
  <c r="E11" i="3"/>
  <c r="E7" i="3"/>
  <c r="D128" i="1"/>
  <c r="G109" i="1"/>
  <c r="D109" i="1"/>
  <c r="G108" i="1"/>
  <c r="D108" i="1"/>
  <c r="G104" i="1"/>
  <c r="D103" i="1"/>
  <c r="D104" i="1" s="1"/>
  <c r="G98" i="1"/>
  <c r="D98" i="1"/>
  <c r="G93" i="1"/>
  <c r="D93" i="1"/>
  <c r="G91" i="1"/>
  <c r="D91" i="1"/>
  <c r="G90" i="1"/>
  <c r="D90" i="1"/>
  <c r="G86" i="1"/>
  <c r="D85" i="1"/>
  <c r="D86" i="1" s="1"/>
  <c r="G80" i="1"/>
  <c r="D80" i="1"/>
  <c r="G75" i="1"/>
  <c r="E75" i="1"/>
  <c r="D75" i="1"/>
  <c r="D69" i="1"/>
  <c r="G67" i="1"/>
  <c r="D67" i="1"/>
  <c r="D66" i="1" s="1"/>
  <c r="G66" i="1"/>
  <c r="D63" i="1"/>
  <c r="D61" i="1"/>
  <c r="D62" i="1" s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  <c r="D9" i="1"/>
  <c r="D3" i="1"/>
</calcChain>
</file>

<file path=xl/sharedStrings.xml><?xml version="1.0" encoding="utf-8"?>
<sst xmlns="http://schemas.openxmlformats.org/spreadsheetml/2006/main" count="795" uniqueCount="103">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</sst>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9865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49"/>
  <sheetViews>
    <sheetView zoomScale="85" zoomScaleNormal="85" workbookViewId="0">
      <pane ySplit="1" topLeftCell="A98" activePane="bottomLeft" state="frozen"/>
      <selection pane="bottomLeft" activeCell="B152" sqref="B152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20.5" bestFit="1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2:5" x14ac:dyDescent="0.2">
      <c r="B145" t="s">
        <v>16</v>
      </c>
      <c r="E145" t="s">
        <v>79</v>
      </c>
    </row>
    <row r="146" spans="2:5" x14ac:dyDescent="0.2">
      <c r="B146" t="s">
        <v>24</v>
      </c>
      <c r="E146" t="s">
        <v>25</v>
      </c>
    </row>
    <row r="147" spans="2:5" x14ac:dyDescent="0.2">
      <c r="B147" t="s">
        <v>28</v>
      </c>
      <c r="C147" t="s">
        <v>29</v>
      </c>
      <c r="E147" t="s">
        <v>30</v>
      </c>
    </row>
    <row r="148" spans="2:5" x14ac:dyDescent="0.2">
      <c r="B148" t="s">
        <v>31</v>
      </c>
      <c r="C148" t="s">
        <v>32</v>
      </c>
      <c r="D148" t="s">
        <v>9</v>
      </c>
      <c r="E148" t="s">
        <v>87</v>
      </c>
    </row>
    <row r="149" spans="2:5" x14ac:dyDescent="0.2">
      <c r="B149" t="s">
        <v>46</v>
      </c>
      <c r="C149" t="s">
        <v>47</v>
      </c>
      <c r="D149" t="s">
        <v>44</v>
      </c>
      <c r="E149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4"/>
  <sheetViews>
    <sheetView zoomScale="85" zoomScaleNormal="85" workbookViewId="0">
      <pane ySplit="1" topLeftCell="A112" activePane="bottomLeft" state="frozen"/>
      <selection pane="bottomLeft" activeCell="F144" sqref="F144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2020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>
        <v>950</v>
      </c>
    </row>
    <row r="3" spans="1:7" x14ac:dyDescent="0.2">
      <c r="B3" t="s">
        <v>7</v>
      </c>
      <c r="C3" t="s">
        <v>21</v>
      </c>
      <c r="D3">
        <f>D2*0.05</f>
        <v>47.5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2500</v>
      </c>
    </row>
    <row r="9" spans="1:7" x14ac:dyDescent="0.2">
      <c r="B9" t="s">
        <v>7</v>
      </c>
      <c r="C9" t="s">
        <v>21</v>
      </c>
      <c r="D9">
        <f>D8*0.05</f>
        <v>125</v>
      </c>
    </row>
    <row r="10" spans="1:7" x14ac:dyDescent="0.2">
      <c r="B10" t="s">
        <v>8</v>
      </c>
      <c r="C10" t="s">
        <v>22</v>
      </c>
      <c r="D10">
        <v>0.2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6000</v>
      </c>
      <c r="G13">
        <f>D13*0.8</f>
        <v>4800</v>
      </c>
    </row>
    <row r="14" spans="1:7" x14ac:dyDescent="0.2">
      <c r="B14" t="s">
        <v>7</v>
      </c>
      <c r="C14" t="s">
        <v>21</v>
      </c>
      <c r="D14">
        <f>D13*0.05</f>
        <v>300</v>
      </c>
      <c r="G14">
        <f t="shared" ref="G14:G15" si="0">D14*0.8</f>
        <v>240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1000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1500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2500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125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700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v>2500</v>
      </c>
      <c r="E54" s="1"/>
      <c r="F54" s="1"/>
      <c r="G54" s="1"/>
    </row>
    <row r="55" spans="1:7" x14ac:dyDescent="0.2">
      <c r="B55" t="s">
        <v>7</v>
      </c>
      <c r="C55" t="s">
        <v>21</v>
      </c>
      <c r="D55">
        <f>D54*0.05</f>
        <v>125</v>
      </c>
      <c r="E55" s="1"/>
      <c r="F55" s="1"/>
      <c r="G55" s="1"/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2500*2</f>
        <v>5000</v>
      </c>
    </row>
    <row r="62" spans="1:7" x14ac:dyDescent="0.2">
      <c r="B62" t="s">
        <v>7</v>
      </c>
      <c r="C62" t="s">
        <v>21</v>
      </c>
      <c r="D62">
        <f>D61*0.05</f>
        <v>250</v>
      </c>
    </row>
    <row r="63" spans="1:7" x14ac:dyDescent="0.2">
      <c r="B63" t="s">
        <v>8</v>
      </c>
      <c r="C63" t="s">
        <v>22</v>
      </c>
      <c r="D63">
        <f>0.2*2</f>
        <v>0.4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72</v>
      </c>
      <c r="B68" t="s">
        <v>6</v>
      </c>
      <c r="C68" t="s">
        <v>21</v>
      </c>
      <c r="D68">
        <v>200</v>
      </c>
      <c r="G68">
        <v>150</v>
      </c>
    </row>
    <row r="69" spans="1:7" x14ac:dyDescent="0.2">
      <c r="B69" t="s">
        <v>7</v>
      </c>
      <c r="C69" t="s">
        <v>21</v>
      </c>
      <c r="D69">
        <f>D68*0.05</f>
        <v>10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75</v>
      </c>
      <c r="B74" t="s">
        <v>6</v>
      </c>
      <c r="C74" t="s">
        <v>21</v>
      </c>
      <c r="D74">
        <v>2000</v>
      </c>
      <c r="E74">
        <v>1500</v>
      </c>
      <c r="G74">
        <v>500</v>
      </c>
    </row>
    <row r="75" spans="1:7" x14ac:dyDescent="0.2">
      <c r="B75" t="s">
        <v>7</v>
      </c>
      <c r="C75" t="s">
        <v>21</v>
      </c>
      <c r="D75">
        <f>D74*0.05</f>
        <v>100</v>
      </c>
      <c r="E75">
        <f>E74*0.05</f>
        <v>75</v>
      </c>
      <c r="G75">
        <f>G74*0.05</f>
        <v>25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3</v>
      </c>
      <c r="E77">
        <v>4</v>
      </c>
      <c r="G77">
        <v>6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A79" t="s">
        <v>77</v>
      </c>
      <c r="B79" t="s">
        <v>6</v>
      </c>
      <c r="C79" t="s">
        <v>21</v>
      </c>
      <c r="D79">
        <v>450</v>
      </c>
      <c r="G79">
        <v>300</v>
      </c>
    </row>
    <row r="80" spans="1:7" x14ac:dyDescent="0.2">
      <c r="B80" t="s">
        <v>7</v>
      </c>
      <c r="C80" t="s">
        <v>21</v>
      </c>
      <c r="D80">
        <f>D79*0.05</f>
        <v>22.5</v>
      </c>
      <c r="G80">
        <f>G79*0.05</f>
        <v>15</v>
      </c>
    </row>
    <row r="81" spans="1:7" x14ac:dyDescent="0.2">
      <c r="B81" t="s">
        <v>8</v>
      </c>
      <c r="C81" t="s">
        <v>22</v>
      </c>
      <c r="D81">
        <v>0.2</v>
      </c>
      <c r="G81">
        <v>0.2</v>
      </c>
    </row>
    <row r="82" spans="1:7" x14ac:dyDescent="0.2">
      <c r="B82" t="s">
        <v>9</v>
      </c>
      <c r="D82">
        <v>0.85</v>
      </c>
      <c r="G82">
        <v>0.9</v>
      </c>
    </row>
    <row r="83" spans="1:7" x14ac:dyDescent="0.2">
      <c r="B83" t="s">
        <v>10</v>
      </c>
      <c r="C83" t="s">
        <v>11</v>
      </c>
      <c r="D83">
        <v>20</v>
      </c>
      <c r="G83">
        <v>20</v>
      </c>
    </row>
    <row r="84" spans="1:7" x14ac:dyDescent="0.2">
      <c r="B84" t="s">
        <v>44</v>
      </c>
      <c r="C84" t="s">
        <v>45</v>
      </c>
      <c r="D84">
        <v>0.2</v>
      </c>
      <c r="G84">
        <v>0.2</v>
      </c>
    </row>
    <row r="85" spans="1:7" x14ac:dyDescent="0.2">
      <c r="A85" t="s">
        <v>81</v>
      </c>
      <c r="B85" t="s">
        <v>6</v>
      </c>
      <c r="C85" t="s">
        <v>21</v>
      </c>
      <c r="D85">
        <f>D79*2</f>
        <v>900</v>
      </c>
      <c r="G85">
        <v>500</v>
      </c>
    </row>
    <row r="86" spans="1:7" x14ac:dyDescent="0.2">
      <c r="B86" t="s">
        <v>7</v>
      </c>
      <c r="C86" t="s">
        <v>21</v>
      </c>
      <c r="D86">
        <f>D85*0.05</f>
        <v>45</v>
      </c>
      <c r="G86">
        <f>G85*0.05</f>
        <v>25</v>
      </c>
    </row>
    <row r="87" spans="1:7" x14ac:dyDescent="0.2">
      <c r="B87" t="s">
        <v>8</v>
      </c>
      <c r="C87" t="s">
        <v>22</v>
      </c>
      <c r="D87">
        <v>0.4</v>
      </c>
      <c r="G87">
        <v>0.3</v>
      </c>
    </row>
    <row r="88" spans="1:7" x14ac:dyDescent="0.2">
      <c r="B88" t="s">
        <v>9</v>
      </c>
      <c r="D88">
        <v>0.8</v>
      </c>
      <c r="G88">
        <v>0.85</v>
      </c>
    </row>
    <row r="89" spans="1:7" x14ac:dyDescent="0.2">
      <c r="B89" t="s">
        <v>10</v>
      </c>
      <c r="C89" t="s">
        <v>11</v>
      </c>
      <c r="D89">
        <v>20</v>
      </c>
      <c r="G89">
        <v>20</v>
      </c>
    </row>
    <row r="90" spans="1:7" x14ac:dyDescent="0.2">
      <c r="B90" t="s">
        <v>44</v>
      </c>
      <c r="C90" t="s">
        <v>45</v>
      </c>
      <c r="D90">
        <f>0.2*0.15</f>
        <v>0.03</v>
      </c>
      <c r="G90">
        <f>0.2*0.1</f>
        <v>2.0000000000000004E-2</v>
      </c>
    </row>
    <row r="91" spans="1:7" x14ac:dyDescent="0.2">
      <c r="B91" t="s">
        <v>68</v>
      </c>
      <c r="C91" t="s">
        <v>45</v>
      </c>
      <c r="D91">
        <f>0.2*0.85</f>
        <v>0.17</v>
      </c>
      <c r="G91">
        <f>0.2*0.9</f>
        <v>0.18000000000000002</v>
      </c>
    </row>
    <row r="92" spans="1:7" x14ac:dyDescent="0.2">
      <c r="A92" t="s">
        <v>83</v>
      </c>
      <c r="B92" t="s">
        <v>6</v>
      </c>
      <c r="C92" t="s">
        <v>21</v>
      </c>
      <c r="D92">
        <v>350</v>
      </c>
      <c r="G92">
        <v>100</v>
      </c>
    </row>
    <row r="93" spans="1:7" x14ac:dyDescent="0.2">
      <c r="B93" t="s">
        <v>7</v>
      </c>
      <c r="C93" t="s">
        <v>21</v>
      </c>
      <c r="D93">
        <f>D92*0.05</f>
        <v>17.5</v>
      </c>
      <c r="G93">
        <f>G92*0.05</f>
        <v>5</v>
      </c>
    </row>
    <row r="94" spans="1:7" x14ac:dyDescent="0.2">
      <c r="B94" t="s">
        <v>8</v>
      </c>
      <c r="C94" t="s">
        <v>22</v>
      </c>
      <c r="D94">
        <v>0.2</v>
      </c>
      <c r="G94">
        <v>0.2</v>
      </c>
    </row>
    <row r="95" spans="1:7" x14ac:dyDescent="0.2">
      <c r="B95" t="s">
        <v>9</v>
      </c>
      <c r="D95">
        <v>0.95</v>
      </c>
      <c r="G95">
        <v>0.99</v>
      </c>
    </row>
    <row r="96" spans="1:7" x14ac:dyDescent="0.2">
      <c r="B96" t="s">
        <v>10</v>
      </c>
      <c r="C96" t="s">
        <v>11</v>
      </c>
      <c r="D96">
        <v>15</v>
      </c>
      <c r="G96">
        <v>20</v>
      </c>
    </row>
    <row r="97" spans="1:7" x14ac:dyDescent="0.2">
      <c r="A97" t="s">
        <v>85</v>
      </c>
      <c r="B97" t="s">
        <v>6</v>
      </c>
      <c r="C97" t="s">
        <v>21</v>
      </c>
      <c r="D97">
        <v>900</v>
      </c>
      <c r="G97">
        <v>400</v>
      </c>
    </row>
    <row r="98" spans="1:7" x14ac:dyDescent="0.2">
      <c r="B98" t="s">
        <v>7</v>
      </c>
      <c r="C98" t="s">
        <v>21</v>
      </c>
      <c r="D98">
        <f>D97*0.05</f>
        <v>45</v>
      </c>
      <c r="G98">
        <f>G97*0.05</f>
        <v>20</v>
      </c>
    </row>
    <row r="99" spans="1:7" x14ac:dyDescent="0.2">
      <c r="B99" t="s">
        <v>8</v>
      </c>
      <c r="C99" t="s">
        <v>22</v>
      </c>
      <c r="D99">
        <v>0.2</v>
      </c>
      <c r="G99">
        <v>0.2</v>
      </c>
    </row>
    <row r="100" spans="1:7" x14ac:dyDescent="0.2">
      <c r="B100" t="s">
        <v>9</v>
      </c>
      <c r="D100">
        <v>0.6</v>
      </c>
      <c r="G100">
        <v>0.8</v>
      </c>
    </row>
    <row r="101" spans="1:7" x14ac:dyDescent="0.2">
      <c r="B101" t="s">
        <v>10</v>
      </c>
      <c r="C101" t="s">
        <v>11</v>
      </c>
      <c r="D101">
        <v>20</v>
      </c>
      <c r="G101">
        <v>20</v>
      </c>
    </row>
    <row r="102" spans="1:7" x14ac:dyDescent="0.2">
      <c r="B102" t="s">
        <v>44</v>
      </c>
      <c r="C102" t="s">
        <v>45</v>
      </c>
      <c r="D102">
        <v>0.2</v>
      </c>
      <c r="G102">
        <v>0.2</v>
      </c>
    </row>
    <row r="103" spans="1:7" x14ac:dyDescent="0.2">
      <c r="A103" t="s">
        <v>88</v>
      </c>
      <c r="B103" t="s">
        <v>6</v>
      </c>
      <c r="C103" t="s">
        <v>21</v>
      </c>
      <c r="D103">
        <f>D97*2</f>
        <v>1800</v>
      </c>
      <c r="G103">
        <v>1000</v>
      </c>
    </row>
    <row r="104" spans="1:7" x14ac:dyDescent="0.2">
      <c r="B104" t="s">
        <v>7</v>
      </c>
      <c r="C104" t="s">
        <v>21</v>
      </c>
      <c r="D104">
        <f>D103*0.05</f>
        <v>90</v>
      </c>
      <c r="G104">
        <f>G103*0.05</f>
        <v>50</v>
      </c>
    </row>
    <row r="105" spans="1:7" x14ac:dyDescent="0.2">
      <c r="B105" t="s">
        <v>8</v>
      </c>
      <c r="C105" t="s">
        <v>22</v>
      </c>
      <c r="D105">
        <v>0.4</v>
      </c>
      <c r="G105">
        <v>0.3</v>
      </c>
    </row>
    <row r="106" spans="1:7" x14ac:dyDescent="0.2">
      <c r="B106" t="s">
        <v>9</v>
      </c>
      <c r="D106">
        <v>0.5</v>
      </c>
      <c r="G106">
        <v>0.7</v>
      </c>
    </row>
    <row r="107" spans="1:7" x14ac:dyDescent="0.2">
      <c r="B107" t="s">
        <v>10</v>
      </c>
      <c r="C107" t="s">
        <v>11</v>
      </c>
      <c r="D107">
        <v>20</v>
      </c>
      <c r="G107">
        <v>20</v>
      </c>
    </row>
    <row r="108" spans="1:7" x14ac:dyDescent="0.2">
      <c r="B108" t="s">
        <v>44</v>
      </c>
      <c r="C108" t="s">
        <v>45</v>
      </c>
      <c r="D108">
        <f>0.2*0.15</f>
        <v>0.03</v>
      </c>
      <c r="G108">
        <f>0.2*0.1</f>
        <v>2.0000000000000004E-2</v>
      </c>
    </row>
    <row r="109" spans="1:7" x14ac:dyDescent="0.2">
      <c r="B109" t="s">
        <v>68</v>
      </c>
      <c r="C109" t="s">
        <v>45</v>
      </c>
      <c r="D109">
        <f>0.2*0.85</f>
        <v>0.17</v>
      </c>
      <c r="G109">
        <f>0.2*0.9</f>
        <v>0.18000000000000002</v>
      </c>
    </row>
    <row r="110" spans="1:7" x14ac:dyDescent="0.2">
      <c r="A110" t="s">
        <v>95</v>
      </c>
      <c r="B110" t="s">
        <v>6</v>
      </c>
      <c r="C110" t="s">
        <v>23</v>
      </c>
      <c r="D110">
        <v>0</v>
      </c>
    </row>
    <row r="111" spans="1:7" x14ac:dyDescent="0.2">
      <c r="B111" t="s">
        <v>7</v>
      </c>
      <c r="C111" t="s">
        <v>23</v>
      </c>
      <c r="D111">
        <v>0</v>
      </c>
    </row>
    <row r="112" spans="1:7" x14ac:dyDescent="0.2">
      <c r="B112" t="s">
        <v>8</v>
      </c>
      <c r="C112" t="s">
        <v>22</v>
      </c>
      <c r="D112">
        <v>0</v>
      </c>
    </row>
    <row r="113" spans="1:4" x14ac:dyDescent="0.2">
      <c r="B113" t="s">
        <v>9</v>
      </c>
      <c r="C113" t="s">
        <v>20</v>
      </c>
      <c r="D113">
        <v>2.5</v>
      </c>
    </row>
    <row r="114" spans="1:4" x14ac:dyDescent="0.2">
      <c r="B114" t="s">
        <v>10</v>
      </c>
      <c r="C114" t="s">
        <v>11</v>
      </c>
      <c r="D114">
        <v>4</v>
      </c>
    </row>
    <row r="115" spans="1:4" x14ac:dyDescent="0.2">
      <c r="A115" t="s">
        <v>97</v>
      </c>
      <c r="B115" t="s">
        <v>6</v>
      </c>
      <c r="C115" t="s">
        <v>23</v>
      </c>
      <c r="D115">
        <v>0</v>
      </c>
    </row>
    <row r="116" spans="1:4" x14ac:dyDescent="0.2">
      <c r="B116" t="s">
        <v>7</v>
      </c>
      <c r="C116" t="s">
        <v>23</v>
      </c>
      <c r="D116">
        <v>0</v>
      </c>
    </row>
    <row r="117" spans="1:4" x14ac:dyDescent="0.2">
      <c r="B117" t="s">
        <v>8</v>
      </c>
      <c r="C117" t="s">
        <v>22</v>
      </c>
      <c r="D117">
        <v>0</v>
      </c>
    </row>
    <row r="118" spans="1:4" x14ac:dyDescent="0.2">
      <c r="B118" t="s">
        <v>9</v>
      </c>
      <c r="C118" t="s">
        <v>20</v>
      </c>
      <c r="D118">
        <v>2.5</v>
      </c>
    </row>
    <row r="119" spans="1:4" x14ac:dyDescent="0.2">
      <c r="B119" t="s">
        <v>10</v>
      </c>
      <c r="C119" t="s">
        <v>11</v>
      </c>
      <c r="D119">
        <v>4</v>
      </c>
    </row>
    <row r="120" spans="1:4" x14ac:dyDescent="0.2">
      <c r="B120" t="s">
        <v>44</v>
      </c>
      <c r="C120" t="s">
        <v>45</v>
      </c>
      <c r="D120">
        <v>0.25</v>
      </c>
    </row>
    <row r="121" spans="1:4" x14ac:dyDescent="0.2">
      <c r="A121" t="s">
        <v>94</v>
      </c>
      <c r="B121" t="s">
        <v>6</v>
      </c>
      <c r="C121" t="s">
        <v>21</v>
      </c>
      <c r="D121">
        <v>0</v>
      </c>
    </row>
    <row r="122" spans="1:4" x14ac:dyDescent="0.2">
      <c r="B122" t="s">
        <v>7</v>
      </c>
      <c r="C122" t="s">
        <v>21</v>
      </c>
      <c r="D122">
        <v>48</v>
      </c>
    </row>
    <row r="123" spans="1:4" x14ac:dyDescent="0.2">
      <c r="B123" t="s">
        <v>8</v>
      </c>
      <c r="C123" t="s">
        <v>22</v>
      </c>
      <c r="D123">
        <v>0.2</v>
      </c>
    </row>
    <row r="124" spans="1:4" x14ac:dyDescent="0.2">
      <c r="B124" t="s">
        <v>9</v>
      </c>
      <c r="D124">
        <v>0.6</v>
      </c>
    </row>
    <row r="125" spans="1:4" x14ac:dyDescent="0.2">
      <c r="B125" t="s">
        <v>10</v>
      </c>
      <c r="C125" t="s">
        <v>11</v>
      </c>
      <c r="D125">
        <v>4</v>
      </c>
    </row>
    <row r="126" spans="1:4" x14ac:dyDescent="0.2">
      <c r="B126" t="s">
        <v>44</v>
      </c>
      <c r="C126" t="s">
        <v>45</v>
      </c>
      <c r="D126">
        <v>0.2</v>
      </c>
    </row>
    <row r="127" spans="1:4" x14ac:dyDescent="0.2">
      <c r="A127" t="s">
        <v>100</v>
      </c>
      <c r="B127" t="s">
        <v>6</v>
      </c>
      <c r="C127" t="s">
        <v>21</v>
      </c>
      <c r="D127">
        <v>0</v>
      </c>
    </row>
    <row r="128" spans="1:4" x14ac:dyDescent="0.2">
      <c r="B128" t="s">
        <v>7</v>
      </c>
      <c r="C128" t="s">
        <v>21</v>
      </c>
      <c r="D128">
        <f>D127*0.05</f>
        <v>0</v>
      </c>
    </row>
    <row r="129" spans="1:4" x14ac:dyDescent="0.2">
      <c r="B129" t="s">
        <v>8</v>
      </c>
      <c r="C129" t="s">
        <v>22</v>
      </c>
      <c r="D129">
        <v>0</v>
      </c>
    </row>
    <row r="130" spans="1:4" x14ac:dyDescent="0.2">
      <c r="B130" t="s">
        <v>9</v>
      </c>
      <c r="D130">
        <v>0.9</v>
      </c>
    </row>
    <row r="131" spans="1:4" x14ac:dyDescent="0.2">
      <c r="B131" t="s">
        <v>10</v>
      </c>
      <c r="C131" t="s">
        <v>11</v>
      </c>
      <c r="D131">
        <v>4</v>
      </c>
    </row>
    <row r="132" spans="1:4" x14ac:dyDescent="0.2">
      <c r="B132" t="s">
        <v>44</v>
      </c>
      <c r="C132" t="s">
        <v>45</v>
      </c>
      <c r="D132">
        <v>0.2</v>
      </c>
    </row>
    <row r="133" spans="1:4" x14ac:dyDescent="0.2">
      <c r="A133" t="s">
        <v>98</v>
      </c>
      <c r="B133" t="s">
        <v>6</v>
      </c>
      <c r="C133" t="s">
        <v>21</v>
      </c>
      <c r="D133">
        <v>0</v>
      </c>
    </row>
    <row r="134" spans="1:4" x14ac:dyDescent="0.2">
      <c r="B134" t="s">
        <v>7</v>
      </c>
      <c r="C134" t="s">
        <v>21</v>
      </c>
      <c r="D134">
        <v>20</v>
      </c>
    </row>
    <row r="135" spans="1:4" x14ac:dyDescent="0.2">
      <c r="B135" t="s">
        <v>8</v>
      </c>
      <c r="C135" t="s">
        <v>22</v>
      </c>
      <c r="D135">
        <v>0.1</v>
      </c>
    </row>
    <row r="136" spans="1:4" x14ac:dyDescent="0.2">
      <c r="B136" t="s">
        <v>9</v>
      </c>
      <c r="D136">
        <v>0.85</v>
      </c>
    </row>
    <row r="137" spans="1:4" x14ac:dyDescent="0.2">
      <c r="B137" t="s">
        <v>10</v>
      </c>
      <c r="C137" t="s">
        <v>11</v>
      </c>
      <c r="D137">
        <v>4</v>
      </c>
    </row>
    <row r="138" spans="1:4" x14ac:dyDescent="0.2">
      <c r="B138" t="s">
        <v>44</v>
      </c>
      <c r="C138" t="s">
        <v>45</v>
      </c>
      <c r="D138">
        <v>0.2</v>
      </c>
    </row>
    <row r="139" spans="1:4" x14ac:dyDescent="0.2">
      <c r="A139" t="s">
        <v>99</v>
      </c>
      <c r="B139" t="s">
        <v>6</v>
      </c>
      <c r="C139" t="s">
        <v>21</v>
      </c>
      <c r="D139">
        <v>0</v>
      </c>
    </row>
    <row r="140" spans="1:4" x14ac:dyDescent="0.2">
      <c r="B140" t="s">
        <v>7</v>
      </c>
      <c r="C140" t="s">
        <v>21</v>
      </c>
      <c r="D140">
        <v>40</v>
      </c>
    </row>
    <row r="141" spans="1:4" x14ac:dyDescent="0.2">
      <c r="B141" t="s">
        <v>8</v>
      </c>
      <c r="C141" t="s">
        <v>22</v>
      </c>
      <c r="D141">
        <v>0.2</v>
      </c>
    </row>
    <row r="142" spans="1:4" x14ac:dyDescent="0.2">
      <c r="B142" t="s">
        <v>9</v>
      </c>
      <c r="D142">
        <v>0.55000000000000004</v>
      </c>
    </row>
    <row r="143" spans="1:4" x14ac:dyDescent="0.2">
      <c r="B143" t="s">
        <v>10</v>
      </c>
      <c r="C143" t="s">
        <v>11</v>
      </c>
      <c r="D143">
        <v>4</v>
      </c>
    </row>
    <row r="144" spans="1:4" x14ac:dyDescent="0.2">
      <c r="B144" t="s">
        <v>44</v>
      </c>
      <c r="C144" t="s">
        <v>45</v>
      </c>
      <c r="D144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27"/>
  <sheetViews>
    <sheetView tabSelected="1" workbookViewId="0">
      <selection activeCell="G5" sqref="G5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  <c r="D2">
        <v>0.7</v>
      </c>
      <c r="E2">
        <f>((17770.034)*D2) - E6</f>
        <v>11562.838699999998</v>
      </c>
    </row>
    <row r="3" spans="1:8" x14ac:dyDescent="0.2">
      <c r="B3" t="s">
        <v>93</v>
      </c>
      <c r="C3" t="s">
        <v>92</v>
      </c>
      <c r="D3">
        <v>0.7</v>
      </c>
      <c r="E3">
        <f>((17770.034)*D3) - E7</f>
        <v>11562.838699999998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f>((17770.034)*D4) - E6</f>
        <v>11562.838699999998</v>
      </c>
    </row>
    <row r="5" spans="1:8" x14ac:dyDescent="0.2">
      <c r="B5" t="s">
        <v>93</v>
      </c>
      <c r="C5" t="s">
        <v>92</v>
      </c>
      <c r="D5">
        <v>0.7</v>
      </c>
      <c r="E5">
        <f>((17770.034)*D5) - E7</f>
        <v>11562.838699999998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f>( 271.718 + 191.875 + 788.1)*D6</f>
        <v>876.18509999999992</v>
      </c>
    </row>
    <row r="7" spans="1:8" x14ac:dyDescent="0.2">
      <c r="B7" t="s">
        <v>93</v>
      </c>
      <c r="C7" t="s">
        <v>92</v>
      </c>
      <c r="D7">
        <v>0.7</v>
      </c>
      <c r="E7">
        <f>( 271.718 + 191.875 + 788.1)*D7</f>
        <v>876.18509999999992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f>(512)*D8</f>
        <v>358.4</v>
      </c>
    </row>
    <row r="9" spans="1:8" x14ac:dyDescent="0.2">
      <c r="B9" t="s">
        <v>93</v>
      </c>
      <c r="C9" t="s">
        <v>92</v>
      </c>
      <c r="D9">
        <v>0.7</v>
      </c>
      <c r="E9">
        <f>(512)*D9</f>
        <v>358.4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f>(11110.022)*D10</f>
        <v>7777.0154000000002</v>
      </c>
    </row>
    <row r="11" spans="1:8" x14ac:dyDescent="0.2">
      <c r="B11" t="s">
        <v>93</v>
      </c>
      <c r="C11" t="s">
        <v>92</v>
      </c>
      <c r="D11">
        <v>0.7</v>
      </c>
      <c r="E11">
        <f>(11110.022)*D11</f>
        <v>7777.0154000000002</v>
      </c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f>(4188.375)*D12</f>
        <v>2931.8624999999997</v>
      </c>
    </row>
    <row r="13" spans="1:8" x14ac:dyDescent="0.2">
      <c r="B13" t="s">
        <v>93</v>
      </c>
      <c r="C13" t="s">
        <v>92</v>
      </c>
      <c r="D13">
        <v>0.7</v>
      </c>
      <c r="E13">
        <f>(4188.375)*D13</f>
        <v>2931.8624999999997</v>
      </c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f>(2459.5)*D14</f>
        <v>1721.6499999999999</v>
      </c>
    </row>
    <row r="15" spans="1:8" x14ac:dyDescent="0.2">
      <c r="B15" t="s">
        <v>93</v>
      </c>
      <c r="C15" t="s">
        <v>92</v>
      </c>
      <c r="D15">
        <v>0.7</v>
      </c>
      <c r="E15">
        <f>(2459.5)*D15</f>
        <v>1721.6499999999999</v>
      </c>
    </row>
    <row r="16" spans="1:8" ht="16" x14ac:dyDescent="0.2">
      <c r="A16" t="s">
        <v>95</v>
      </c>
      <c r="B16" t="s">
        <v>91</v>
      </c>
      <c r="C16" t="s">
        <v>96</v>
      </c>
      <c r="D16" s="2">
        <f>40*0.1</f>
        <v>4</v>
      </c>
      <c r="E16">
        <f>((173797)*1000000)/D16</f>
        <v>43449250000</v>
      </c>
    </row>
    <row r="17" spans="1:5" ht="16" x14ac:dyDescent="0.2">
      <c r="B17" t="s">
        <v>93</v>
      </c>
      <c r="C17" t="s">
        <v>96</v>
      </c>
      <c r="D17" s="2">
        <f t="shared" ref="D17:D21" si="0">40*0.1</f>
        <v>4</v>
      </c>
      <c r="E17">
        <f t="shared" ref="E17:E19" si="1">((173797)*1000000)/D17</f>
        <v>43449250000</v>
      </c>
    </row>
    <row r="18" spans="1:5" ht="16" x14ac:dyDescent="0.2">
      <c r="A18" t="s">
        <v>18</v>
      </c>
      <c r="B18" t="s">
        <v>91</v>
      </c>
      <c r="C18" t="s">
        <v>96</v>
      </c>
      <c r="D18" s="2">
        <f t="shared" si="0"/>
        <v>4</v>
      </c>
      <c r="E18">
        <f t="shared" si="1"/>
        <v>43449250000</v>
      </c>
    </row>
    <row r="19" spans="1:5" ht="16" x14ac:dyDescent="0.2">
      <c r="B19" t="s">
        <v>93</v>
      </c>
      <c r="C19" t="s">
        <v>96</v>
      </c>
      <c r="D19" s="2">
        <f t="shared" si="0"/>
        <v>4</v>
      </c>
      <c r="E19">
        <f t="shared" si="1"/>
        <v>43449250000</v>
      </c>
    </row>
    <row r="20" spans="1:5" ht="16" x14ac:dyDescent="0.2">
      <c r="A20" t="s">
        <v>97</v>
      </c>
      <c r="B20" t="s">
        <v>91</v>
      </c>
      <c r="C20" t="s">
        <v>96</v>
      </c>
      <c r="D20" s="2">
        <f t="shared" si="0"/>
        <v>4</v>
      </c>
      <c r="E20">
        <f>((8686419*1000000)/D20) - E16</f>
        <v>2128155500000</v>
      </c>
    </row>
    <row r="21" spans="1:5" ht="16" x14ac:dyDescent="0.2">
      <c r="B21" t="s">
        <v>93</v>
      </c>
      <c r="C21" t="s">
        <v>96</v>
      </c>
      <c r="D21" s="2">
        <f t="shared" si="0"/>
        <v>4</v>
      </c>
      <c r="E21">
        <f>((8686419*1000000)/D21) - E17</f>
        <v>2128155500000</v>
      </c>
    </row>
    <row r="22" spans="1:5" x14ac:dyDescent="0.2">
      <c r="A22" t="s">
        <v>98</v>
      </c>
      <c r="B22" t="s">
        <v>91</v>
      </c>
      <c r="C22" t="s">
        <v>92</v>
      </c>
      <c r="D22">
        <v>0.7</v>
      </c>
    </row>
    <row r="23" spans="1:5" x14ac:dyDescent="0.2">
      <c r="B23" t="s">
        <v>93</v>
      </c>
      <c r="C23" t="s">
        <v>92</v>
      </c>
      <c r="D23">
        <v>0.7</v>
      </c>
    </row>
    <row r="24" spans="1:5" x14ac:dyDescent="0.2">
      <c r="A24" t="s">
        <v>99</v>
      </c>
      <c r="B24" t="s">
        <v>91</v>
      </c>
      <c r="C24" t="s">
        <v>92</v>
      </c>
      <c r="D24">
        <v>0.7</v>
      </c>
    </row>
    <row r="25" spans="1:5" x14ac:dyDescent="0.2">
      <c r="B25" t="s">
        <v>93</v>
      </c>
      <c r="C25" t="s">
        <v>92</v>
      </c>
      <c r="D25">
        <v>0.7</v>
      </c>
    </row>
    <row r="26" spans="1:5" x14ac:dyDescent="0.2">
      <c r="A26" t="s">
        <v>85</v>
      </c>
      <c r="B26" t="s">
        <v>91</v>
      </c>
      <c r="C26" t="s">
        <v>92</v>
      </c>
      <c r="D26">
        <v>0.7</v>
      </c>
    </row>
    <row r="27" spans="1:5" x14ac:dyDescent="0.2">
      <c r="B27" t="s">
        <v>93</v>
      </c>
      <c r="C27" t="s">
        <v>92</v>
      </c>
      <c r="D2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Anna Cerato</cp:lastModifiedBy>
  <dcterms:created xsi:type="dcterms:W3CDTF">2015-06-05T18:17:20Z</dcterms:created>
  <dcterms:modified xsi:type="dcterms:W3CDTF">2026-10-08T08:45:10Z</dcterms:modified>
</cp:coreProperties>
</file>