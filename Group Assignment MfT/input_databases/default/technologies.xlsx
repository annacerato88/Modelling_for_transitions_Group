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365tno-my.sharepoint.com/personal/francesco_dallalonga_tno_nl/Documents/UvA/teaching/MScComplexSystems/ModellingForTransitions/Practicals/p05/input_database/"/>
    </mc:Choice>
  </mc:AlternateContent>
  <xr:revisionPtr revIDLastSave="1269" documentId="11_F25DC773A252ABDACC10484E91D859225ADE58F8" xr6:coauthVersionLast="47" xr6:coauthVersionMax="47" xr10:uidLastSave="{6926C15B-F568-483B-B0B2-70658C01863C}"/>
  <bookViews>
    <workbookView xWindow="-120" yWindow="-120" windowWidth="29040" windowHeight="15720" activeTab="1" xr2:uid="{00000000-000D-0000-FFFF-FFFF00000000}"/>
  </bookViews>
  <sheets>
    <sheet name="static_parameters" sheetId="2" r:id="rId1"/>
    <sheet name="dynamic_parameters" sheetId="1" r:id="rId2"/>
  </sheets>
  <definedNames>
    <definedName name="_xlnm._FilterDatabase" localSheetId="1" hidden="1">dynamic_parameters!$A$1:$H$36</definedName>
    <definedName name="_xlnm._FilterDatabase" localSheetId="0" hidden="1">static_parameters!$A$1:$F$44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E19" i="1"/>
  <c r="D19" i="1"/>
  <c r="E33" i="1"/>
  <c r="F33" i="1" s="1"/>
  <c r="G33" i="1" s="1"/>
  <c r="E28" i="1"/>
  <c r="F28" i="1" s="1"/>
  <c r="G28" i="1" s="1"/>
  <c r="D3" i="1"/>
</calcChain>
</file>

<file path=xl/sharedStrings.xml><?xml version="1.0" encoding="utf-8"?>
<sst xmlns="http://schemas.openxmlformats.org/spreadsheetml/2006/main" count="216" uniqueCount="59">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</sst>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44"/>
  <sheetViews>
    <sheetView zoomScale="85" zoomScaleNormal="85" workbookViewId="0">
      <pane ySplit="1" topLeftCell="A2" activePane="bottomLeft" state="frozen"/>
      <selection pane="bottomLeft" activeCell="A45" sqref="A45:XFD139"/>
    </sheetView>
  </sheetViews>
  <sheetFormatPr defaultRowHeight="15" x14ac:dyDescent="0.25"/>
  <cols>
    <col min="1" max="1" width="34.85546875" bestFit="1" customWidth="1"/>
    <col min="2" max="2" width="15.42578125" customWidth="1"/>
    <col min="3" max="3" width="25.7109375" bestFit="1" customWidth="1"/>
    <col min="4" max="4" width="15.42578125" customWidth="1"/>
    <col min="5" max="5" width="20.5703125" bestFit="1" customWidth="1"/>
  </cols>
  <sheetData>
    <row r="1" spans="1:6" x14ac:dyDescent="0.25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5">
      <c r="A2" t="s">
        <v>3</v>
      </c>
      <c r="B2" t="s">
        <v>49</v>
      </c>
      <c r="E2" t="s">
        <v>5</v>
      </c>
    </row>
    <row r="3" spans="1:6" x14ac:dyDescent="0.25">
      <c r="B3" t="s">
        <v>16</v>
      </c>
      <c r="E3" t="s">
        <v>17</v>
      </c>
    </row>
    <row r="4" spans="1:6" x14ac:dyDescent="0.25">
      <c r="B4" t="s">
        <v>24</v>
      </c>
      <c r="E4" t="s">
        <v>25</v>
      </c>
    </row>
    <row r="5" spans="1:6" x14ac:dyDescent="0.25">
      <c r="B5" t="s">
        <v>28</v>
      </c>
      <c r="C5" t="s">
        <v>29</v>
      </c>
      <c r="E5" t="s">
        <v>30</v>
      </c>
    </row>
    <row r="6" spans="1:6" x14ac:dyDescent="0.25">
      <c r="B6" t="s">
        <v>31</v>
      </c>
      <c r="C6" t="s">
        <v>32</v>
      </c>
      <c r="D6" t="s">
        <v>9</v>
      </c>
      <c r="E6" t="s">
        <v>34</v>
      </c>
    </row>
    <row r="7" spans="1:6" x14ac:dyDescent="0.25">
      <c r="B7" t="s">
        <v>46</v>
      </c>
      <c r="C7" t="s">
        <v>47</v>
      </c>
      <c r="D7" t="s">
        <v>44</v>
      </c>
      <c r="E7" t="s">
        <v>48</v>
      </c>
    </row>
    <row r="8" spans="1:6" x14ac:dyDescent="0.25">
      <c r="A8" t="s">
        <v>43</v>
      </c>
      <c r="B8" t="s">
        <v>49</v>
      </c>
      <c r="E8" t="s">
        <v>12</v>
      </c>
    </row>
    <row r="9" spans="1:6" x14ac:dyDescent="0.25">
      <c r="B9" t="s">
        <v>16</v>
      </c>
      <c r="E9" t="s">
        <v>17</v>
      </c>
    </row>
    <row r="10" spans="1:6" x14ac:dyDescent="0.25">
      <c r="B10" t="s">
        <v>24</v>
      </c>
      <c r="E10" t="s">
        <v>38</v>
      </c>
    </row>
    <row r="11" spans="1:6" x14ac:dyDescent="0.25">
      <c r="B11" t="s">
        <v>28</v>
      </c>
      <c r="C11" t="s">
        <v>29</v>
      </c>
      <c r="E11" t="s">
        <v>13</v>
      </c>
    </row>
    <row r="12" spans="1:6" x14ac:dyDescent="0.25">
      <c r="B12" t="s">
        <v>31</v>
      </c>
      <c r="C12" t="s">
        <v>32</v>
      </c>
      <c r="D12" t="s">
        <v>9</v>
      </c>
      <c r="E12" t="s">
        <v>34</v>
      </c>
    </row>
    <row r="13" spans="1:6" x14ac:dyDescent="0.25">
      <c r="A13" t="s">
        <v>53</v>
      </c>
      <c r="B13" t="s">
        <v>49</v>
      </c>
      <c r="E13" t="s">
        <v>55</v>
      </c>
    </row>
    <row r="14" spans="1:6" x14ac:dyDescent="0.25">
      <c r="B14" t="s">
        <v>16</v>
      </c>
      <c r="E14" t="s">
        <v>17</v>
      </c>
    </row>
    <row r="15" spans="1:6" x14ac:dyDescent="0.25">
      <c r="B15" t="s">
        <v>24</v>
      </c>
      <c r="E15" t="s">
        <v>38</v>
      </c>
    </row>
    <row r="16" spans="1:6" x14ac:dyDescent="0.25">
      <c r="B16" t="s">
        <v>28</v>
      </c>
      <c r="C16" t="s">
        <v>29</v>
      </c>
      <c r="E16" t="s">
        <v>57</v>
      </c>
    </row>
    <row r="17" spans="1:5" x14ac:dyDescent="0.25">
      <c r="B17" t="s">
        <v>31</v>
      </c>
      <c r="C17" t="s">
        <v>32</v>
      </c>
      <c r="D17" t="s">
        <v>9</v>
      </c>
      <c r="E17" t="s">
        <v>34</v>
      </c>
    </row>
    <row r="18" spans="1:5" x14ac:dyDescent="0.25">
      <c r="A18" t="s">
        <v>54</v>
      </c>
      <c r="B18" t="s">
        <v>49</v>
      </c>
      <c r="E18" t="s">
        <v>56</v>
      </c>
    </row>
    <row r="19" spans="1:5" x14ac:dyDescent="0.25">
      <c r="B19" t="s">
        <v>16</v>
      </c>
      <c r="E19" t="s">
        <v>17</v>
      </c>
    </row>
    <row r="20" spans="1:5" x14ac:dyDescent="0.25">
      <c r="B20" t="s">
        <v>24</v>
      </c>
      <c r="E20" t="s">
        <v>38</v>
      </c>
    </row>
    <row r="21" spans="1:5" x14ac:dyDescent="0.25">
      <c r="B21" t="s">
        <v>28</v>
      </c>
      <c r="C21" t="s">
        <v>29</v>
      </c>
      <c r="E21" t="s">
        <v>58</v>
      </c>
    </row>
    <row r="22" spans="1:5" x14ac:dyDescent="0.25">
      <c r="B22" t="s">
        <v>31</v>
      </c>
      <c r="C22" t="s">
        <v>32</v>
      </c>
      <c r="D22" t="s">
        <v>9</v>
      </c>
      <c r="E22" t="s">
        <v>34</v>
      </c>
    </row>
    <row r="23" spans="1:5" x14ac:dyDescent="0.25">
      <c r="A23" t="s">
        <v>18</v>
      </c>
      <c r="B23" t="s">
        <v>49</v>
      </c>
      <c r="E23" t="s">
        <v>50</v>
      </c>
    </row>
    <row r="24" spans="1:5" x14ac:dyDescent="0.25">
      <c r="B24" t="s">
        <v>16</v>
      </c>
      <c r="E24" t="s">
        <v>19</v>
      </c>
    </row>
    <row r="25" spans="1:5" x14ac:dyDescent="0.25">
      <c r="B25" t="s">
        <v>24</v>
      </c>
      <c r="E25" t="s">
        <v>25</v>
      </c>
    </row>
    <row r="26" spans="1:5" x14ac:dyDescent="0.25">
      <c r="B26" t="s">
        <v>28</v>
      </c>
      <c r="C26" t="s">
        <v>29</v>
      </c>
      <c r="E26" t="s">
        <v>34</v>
      </c>
    </row>
    <row r="27" spans="1:5" x14ac:dyDescent="0.25">
      <c r="B27" t="s">
        <v>31</v>
      </c>
      <c r="C27" t="s">
        <v>32</v>
      </c>
      <c r="D27" t="s">
        <v>9</v>
      </c>
      <c r="E27" t="s">
        <v>35</v>
      </c>
    </row>
    <row r="28" spans="1:5" x14ac:dyDescent="0.25">
      <c r="A28" t="s">
        <v>36</v>
      </c>
      <c r="B28" t="s">
        <v>49</v>
      </c>
      <c r="E28" t="s">
        <v>51</v>
      </c>
    </row>
    <row r="29" spans="1:5" x14ac:dyDescent="0.25">
      <c r="B29" t="s">
        <v>16</v>
      </c>
      <c r="E29" t="s">
        <v>19</v>
      </c>
    </row>
    <row r="30" spans="1:5" x14ac:dyDescent="0.25">
      <c r="B30" t="s">
        <v>24</v>
      </c>
      <c r="E30" t="s">
        <v>25</v>
      </c>
    </row>
    <row r="31" spans="1:5" x14ac:dyDescent="0.25">
      <c r="B31" t="s">
        <v>28</v>
      </c>
      <c r="C31" t="s">
        <v>29</v>
      </c>
      <c r="E31" t="s">
        <v>37</v>
      </c>
    </row>
    <row r="32" spans="1:5" x14ac:dyDescent="0.25">
      <c r="B32" t="s">
        <v>31</v>
      </c>
      <c r="C32" t="s">
        <v>32</v>
      </c>
      <c r="D32" t="s">
        <v>9</v>
      </c>
      <c r="E32" t="s">
        <v>35</v>
      </c>
    </row>
    <row r="33" spans="1:5" x14ac:dyDescent="0.25">
      <c r="B33" t="s">
        <v>46</v>
      </c>
      <c r="C33" t="s">
        <v>47</v>
      </c>
      <c r="D33" t="s">
        <v>44</v>
      </c>
      <c r="E33" t="s">
        <v>48</v>
      </c>
    </row>
    <row r="34" spans="1:5" x14ac:dyDescent="0.25">
      <c r="A34" t="s">
        <v>40</v>
      </c>
      <c r="B34" t="s">
        <v>49</v>
      </c>
      <c r="E34" t="s">
        <v>41</v>
      </c>
    </row>
    <row r="35" spans="1:5" x14ac:dyDescent="0.25">
      <c r="B35" t="s">
        <v>16</v>
      </c>
      <c r="E35" t="s">
        <v>39</v>
      </c>
    </row>
    <row r="36" spans="1:5" x14ac:dyDescent="0.25">
      <c r="B36" t="s">
        <v>24</v>
      </c>
      <c r="E36" t="s">
        <v>25</v>
      </c>
    </row>
    <row r="37" spans="1:5" x14ac:dyDescent="0.25">
      <c r="B37" t="s">
        <v>28</v>
      </c>
      <c r="C37" t="s">
        <v>29</v>
      </c>
      <c r="E37" t="s">
        <v>34</v>
      </c>
    </row>
    <row r="38" spans="1:5" x14ac:dyDescent="0.25">
      <c r="B38" t="s">
        <v>31</v>
      </c>
      <c r="C38" t="s">
        <v>32</v>
      </c>
      <c r="D38" t="s">
        <v>9</v>
      </c>
      <c r="E38" t="s">
        <v>42</v>
      </c>
    </row>
    <row r="39" spans="1:5" x14ac:dyDescent="0.25">
      <c r="A39" t="s">
        <v>14</v>
      </c>
      <c r="B39" t="s">
        <v>49</v>
      </c>
      <c r="E39" t="s">
        <v>15</v>
      </c>
    </row>
    <row r="40" spans="1:5" x14ac:dyDescent="0.25">
      <c r="B40" t="s">
        <v>16</v>
      </c>
      <c r="E40" t="s">
        <v>17</v>
      </c>
    </row>
    <row r="41" spans="1:5" x14ac:dyDescent="0.25">
      <c r="B41" t="s">
        <v>24</v>
      </c>
      <c r="E41" t="s">
        <v>26</v>
      </c>
    </row>
    <row r="42" spans="1:5" x14ac:dyDescent="0.25">
      <c r="B42" t="s">
        <v>28</v>
      </c>
      <c r="C42" t="s">
        <v>29</v>
      </c>
      <c r="E42" t="s">
        <v>34</v>
      </c>
    </row>
    <row r="43" spans="1:5" x14ac:dyDescent="0.25">
      <c r="B43" t="s">
        <v>31</v>
      </c>
      <c r="C43" t="s">
        <v>32</v>
      </c>
      <c r="D43" t="s">
        <v>9</v>
      </c>
      <c r="E43" t="s">
        <v>34</v>
      </c>
    </row>
    <row r="44" spans="1:5" x14ac:dyDescent="0.25">
      <c r="B44" t="s">
        <v>52</v>
      </c>
      <c r="E44">
        <v>2030</v>
      </c>
    </row>
  </sheetData>
  <autoFilter ref="A1:F44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.85546875" bestFit="1" customWidth="1"/>
    <col min="2" max="2" width="13.28515625" bestFit="1" customWidth="1"/>
    <col min="3" max="3" width="13.85546875" bestFit="1" customWidth="1"/>
    <col min="4" max="4" width="27.7109375" customWidth="1"/>
    <col min="5" max="5" width="10.28515625" bestFit="1" customWidth="1"/>
    <col min="6" max="6" width="8.5703125" bestFit="1" customWidth="1"/>
    <col min="7" max="7" width="8.5703125" customWidth="1"/>
    <col min="8" max="9" width="6" bestFit="1" customWidth="1"/>
    <col min="10" max="10" width="8" bestFit="1" customWidth="1"/>
    <col min="11" max="11" width="10" bestFit="1" customWidth="1"/>
    <col min="12" max="12" width="8.85546875" bestFit="1" customWidth="1"/>
    <col min="13" max="13" width="6.42578125" bestFit="1" customWidth="1"/>
    <col min="14" max="14" width="4.42578125" bestFit="1" customWidth="1"/>
    <col min="15" max="15" width="9.42578125" bestFit="1" customWidth="1"/>
    <col min="16" max="21" width="14" bestFit="1" customWidth="1"/>
    <col min="22" max="27" width="11.85546875" bestFit="1" customWidth="1"/>
    <col min="28" max="33" width="12.85546875" bestFit="1" customWidth="1"/>
    <col min="34" max="39" width="9" bestFit="1" customWidth="1"/>
    <col min="40" max="40" width="4" bestFit="1" customWidth="1"/>
    <col min="41" max="41" width="11.42578125" bestFit="1" customWidth="1"/>
    <col min="42" max="42" width="11.5703125" bestFit="1" customWidth="1"/>
    <col min="43" max="43" width="11" bestFit="1" customWidth="1"/>
    <col min="44" max="44" width="11.140625" bestFit="1" customWidth="1"/>
    <col min="45" max="45" width="12.28515625" bestFit="1" customWidth="1"/>
    <col min="46" max="46" width="12.42578125" bestFit="1" customWidth="1"/>
    <col min="47" max="47" width="9.7109375" bestFit="1" customWidth="1"/>
    <col min="48" max="48" width="9.85546875" bestFit="1" customWidth="1"/>
    <col min="49" max="49" width="8.85546875" bestFit="1" customWidth="1"/>
    <col min="50" max="50" width="9" bestFit="1" customWidth="1"/>
    <col min="51" max="51" width="8.42578125" bestFit="1" customWidth="1"/>
    <col min="52" max="52" width="8.5703125" bestFit="1" customWidth="1"/>
    <col min="54" max="54" width="13.28515625" bestFit="1" customWidth="1"/>
    <col min="55" max="55" width="10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>
        <v>2020</v>
      </c>
      <c r="E1">
        <v>2030</v>
      </c>
      <c r="F1">
        <v>2040</v>
      </c>
      <c r="G1">
        <v>2050</v>
      </c>
    </row>
    <row r="2" spans="1:7" x14ac:dyDescent="0.25">
      <c r="A2" t="s">
        <v>3</v>
      </c>
      <c r="B2" t="s">
        <v>6</v>
      </c>
      <c r="C2" t="s">
        <v>21</v>
      </c>
      <c r="D2">
        <v>950</v>
      </c>
    </row>
    <row r="3" spans="1:7" x14ac:dyDescent="0.25">
      <c r="B3" t="s">
        <v>7</v>
      </c>
      <c r="C3" t="s">
        <v>21</v>
      </c>
      <c r="D3">
        <f>D2*0.05</f>
        <v>47.5</v>
      </c>
    </row>
    <row r="4" spans="1:7" x14ac:dyDescent="0.25">
      <c r="B4" t="s">
        <v>8</v>
      </c>
      <c r="C4" t="s">
        <v>22</v>
      </c>
      <c r="D4">
        <v>0.2</v>
      </c>
    </row>
    <row r="5" spans="1:7" x14ac:dyDescent="0.25">
      <c r="B5" t="s">
        <v>9</v>
      </c>
      <c r="D5">
        <v>0.6</v>
      </c>
    </row>
    <row r="6" spans="1:7" x14ac:dyDescent="0.25">
      <c r="B6" t="s">
        <v>10</v>
      </c>
      <c r="C6" t="s">
        <v>11</v>
      </c>
      <c r="D6">
        <v>30</v>
      </c>
    </row>
    <row r="7" spans="1:7" x14ac:dyDescent="0.25">
      <c r="B7" t="s">
        <v>44</v>
      </c>
      <c r="C7" t="s">
        <v>45</v>
      </c>
      <c r="D7">
        <v>0.2</v>
      </c>
    </row>
    <row r="8" spans="1:7" x14ac:dyDescent="0.25">
      <c r="A8" t="s">
        <v>43</v>
      </c>
      <c r="B8" t="s">
        <v>6</v>
      </c>
      <c r="C8" t="s">
        <v>21</v>
      </c>
      <c r="D8">
        <v>1000</v>
      </c>
      <c r="E8">
        <v>760</v>
      </c>
      <c r="G8">
        <v>350</v>
      </c>
    </row>
    <row r="9" spans="1:7" x14ac:dyDescent="0.25">
      <c r="B9" t="s">
        <v>7</v>
      </c>
      <c r="C9" t="s">
        <v>21</v>
      </c>
      <c r="D9">
        <v>10</v>
      </c>
      <c r="E9">
        <v>8</v>
      </c>
      <c r="G9">
        <v>3</v>
      </c>
    </row>
    <row r="10" spans="1:7" x14ac:dyDescent="0.25">
      <c r="B10" t="s">
        <v>8</v>
      </c>
      <c r="C10" t="s">
        <v>22</v>
      </c>
      <c r="D10">
        <v>0.05</v>
      </c>
      <c r="E10">
        <v>0.05</v>
      </c>
      <c r="G10">
        <v>0.05</v>
      </c>
    </row>
    <row r="11" spans="1:7" x14ac:dyDescent="0.25">
      <c r="B11" t="s">
        <v>9</v>
      </c>
      <c r="D11">
        <v>1</v>
      </c>
      <c r="E11">
        <v>1</v>
      </c>
      <c r="G11">
        <v>1</v>
      </c>
    </row>
    <row r="12" spans="1:7" x14ac:dyDescent="0.25">
      <c r="B12" t="s">
        <v>10</v>
      </c>
      <c r="C12" t="s">
        <v>11</v>
      </c>
      <c r="D12">
        <v>25</v>
      </c>
      <c r="E12">
        <v>25</v>
      </c>
      <c r="G12">
        <v>25</v>
      </c>
    </row>
    <row r="13" spans="1:7" x14ac:dyDescent="0.25">
      <c r="A13" t="s">
        <v>53</v>
      </c>
      <c r="B13" t="s">
        <v>6</v>
      </c>
      <c r="C13" t="s">
        <v>21</v>
      </c>
      <c r="D13">
        <v>1500</v>
      </c>
      <c r="E13">
        <v>1300</v>
      </c>
      <c r="G13">
        <v>1000</v>
      </c>
    </row>
    <row r="14" spans="1:7" x14ac:dyDescent="0.25">
      <c r="B14" t="s">
        <v>7</v>
      </c>
      <c r="C14" t="s">
        <v>21</v>
      </c>
      <c r="D14">
        <v>30</v>
      </c>
      <c r="E14">
        <v>25</v>
      </c>
      <c r="G14">
        <v>20</v>
      </c>
    </row>
    <row r="15" spans="1:7" x14ac:dyDescent="0.25">
      <c r="B15" t="s">
        <v>8</v>
      </c>
      <c r="C15" t="s">
        <v>22</v>
      </c>
      <c r="D15">
        <v>0.1</v>
      </c>
      <c r="E15">
        <v>0.1</v>
      </c>
      <c r="G15">
        <v>0.1</v>
      </c>
    </row>
    <row r="16" spans="1:7" x14ac:dyDescent="0.25">
      <c r="B16" t="s">
        <v>9</v>
      </c>
      <c r="D16">
        <v>1</v>
      </c>
      <c r="E16">
        <v>1</v>
      </c>
      <c r="G16">
        <v>1</v>
      </c>
    </row>
    <row r="17" spans="1:7" x14ac:dyDescent="0.25">
      <c r="B17" t="s">
        <v>10</v>
      </c>
      <c r="C17" t="s">
        <v>11</v>
      </c>
      <c r="D17">
        <v>25</v>
      </c>
      <c r="E17">
        <v>25</v>
      </c>
      <c r="G17">
        <v>25</v>
      </c>
    </row>
    <row r="18" spans="1:7" x14ac:dyDescent="0.25">
      <c r="A18" t="s">
        <v>54</v>
      </c>
      <c r="B18" t="s">
        <v>6</v>
      </c>
      <c r="C18" t="s">
        <v>21</v>
      </c>
      <c r="D18">
        <v>2500</v>
      </c>
      <c r="E18">
        <v>2000</v>
      </c>
      <c r="G18">
        <v>1300</v>
      </c>
    </row>
    <row r="19" spans="1:7" x14ac:dyDescent="0.25">
      <c r="B19" t="s">
        <v>7</v>
      </c>
      <c r="C19" t="s">
        <v>21</v>
      </c>
      <c r="D19">
        <f>0.05*D18</f>
        <v>125</v>
      </c>
      <c r="E19">
        <f>0.05*E18</f>
        <v>100</v>
      </c>
      <c r="G19">
        <f>0.05*G18</f>
        <v>65</v>
      </c>
    </row>
    <row r="20" spans="1:7" x14ac:dyDescent="0.25">
      <c r="B20" t="s">
        <v>8</v>
      </c>
      <c r="C20" t="s">
        <v>22</v>
      </c>
      <c r="D20">
        <v>0.1</v>
      </c>
      <c r="E20">
        <v>0.1</v>
      </c>
      <c r="G20">
        <v>0.1</v>
      </c>
    </row>
    <row r="21" spans="1:7" x14ac:dyDescent="0.25">
      <c r="B21" t="s">
        <v>9</v>
      </c>
      <c r="D21">
        <v>1.2</v>
      </c>
      <c r="E21">
        <v>1.2</v>
      </c>
      <c r="G21">
        <v>1.2</v>
      </c>
    </row>
    <row r="22" spans="1:7" x14ac:dyDescent="0.25">
      <c r="B22" t="s">
        <v>10</v>
      </c>
      <c r="C22" t="s">
        <v>11</v>
      </c>
      <c r="D22">
        <v>25</v>
      </c>
      <c r="E22">
        <v>25</v>
      </c>
      <c r="G22">
        <v>25</v>
      </c>
    </row>
    <row r="23" spans="1:7" x14ac:dyDescent="0.25">
      <c r="A23" t="s">
        <v>14</v>
      </c>
      <c r="B23" t="s">
        <v>6</v>
      </c>
      <c r="C23" t="s">
        <v>21</v>
      </c>
      <c r="D23">
        <v>700</v>
      </c>
      <c r="E23">
        <v>350</v>
      </c>
      <c r="G23">
        <v>200</v>
      </c>
    </row>
    <row r="24" spans="1:7" x14ac:dyDescent="0.25">
      <c r="B24" t="s">
        <v>7</v>
      </c>
      <c r="C24" t="s">
        <v>21</v>
      </c>
      <c r="D24">
        <v>0</v>
      </c>
      <c r="E24">
        <v>0</v>
      </c>
      <c r="G24">
        <v>0</v>
      </c>
    </row>
    <row r="25" spans="1:7" x14ac:dyDescent="0.25">
      <c r="B25" t="s">
        <v>8</v>
      </c>
      <c r="C25" t="s">
        <v>22</v>
      </c>
      <c r="D25">
        <v>0</v>
      </c>
      <c r="E25">
        <v>0</v>
      </c>
      <c r="G25">
        <v>0</v>
      </c>
    </row>
    <row r="26" spans="1:7" x14ac:dyDescent="0.25">
      <c r="B26" t="s">
        <v>9</v>
      </c>
      <c r="D26">
        <v>0.95</v>
      </c>
      <c r="E26">
        <v>0.95</v>
      </c>
      <c r="G26">
        <v>0.95</v>
      </c>
    </row>
    <row r="27" spans="1:7" x14ac:dyDescent="0.25">
      <c r="B27" t="s">
        <v>10</v>
      </c>
      <c r="C27" t="s">
        <v>11</v>
      </c>
      <c r="D27">
        <v>25</v>
      </c>
      <c r="E27">
        <v>25</v>
      </c>
      <c r="G27">
        <v>25</v>
      </c>
    </row>
    <row r="28" spans="1:7" x14ac:dyDescent="0.25">
      <c r="A28" t="s">
        <v>18</v>
      </c>
      <c r="B28" t="s">
        <v>6</v>
      </c>
      <c r="C28" t="s">
        <v>23</v>
      </c>
      <c r="D28">
        <v>35000</v>
      </c>
      <c r="E28">
        <f>D28*0.8</f>
        <v>28000</v>
      </c>
      <c r="F28">
        <f t="shared" ref="F28:G28" si="0">E28*0.8</f>
        <v>22400</v>
      </c>
      <c r="G28">
        <f t="shared" si="0"/>
        <v>17920</v>
      </c>
    </row>
    <row r="29" spans="1:7" x14ac:dyDescent="0.25">
      <c r="B29" t="s">
        <v>7</v>
      </c>
      <c r="C29" t="s">
        <v>23</v>
      </c>
      <c r="D29">
        <v>0</v>
      </c>
      <c r="E29">
        <v>0</v>
      </c>
      <c r="F29">
        <v>0</v>
      </c>
      <c r="G29">
        <v>0</v>
      </c>
    </row>
    <row r="30" spans="1:7" x14ac:dyDescent="0.25">
      <c r="B30" t="s">
        <v>8</v>
      </c>
      <c r="C30" t="s">
        <v>22</v>
      </c>
      <c r="D30">
        <v>0</v>
      </c>
      <c r="E30">
        <v>0</v>
      </c>
      <c r="F30">
        <v>0</v>
      </c>
      <c r="G30">
        <v>0</v>
      </c>
    </row>
    <row r="31" spans="1:7" x14ac:dyDescent="0.25">
      <c r="B31" t="s">
        <v>9</v>
      </c>
      <c r="C31" t="s">
        <v>20</v>
      </c>
      <c r="D31">
        <v>3.6</v>
      </c>
      <c r="E31">
        <v>5.6</v>
      </c>
      <c r="F31">
        <v>6.12</v>
      </c>
      <c r="G31">
        <v>6.12</v>
      </c>
    </row>
    <row r="32" spans="1:7" x14ac:dyDescent="0.25">
      <c r="B32" t="s">
        <v>10</v>
      </c>
      <c r="C32" t="s">
        <v>11</v>
      </c>
      <c r="D32">
        <v>12</v>
      </c>
      <c r="E32">
        <v>12</v>
      </c>
      <c r="F32">
        <v>12</v>
      </c>
      <c r="G32">
        <v>12</v>
      </c>
    </row>
    <row r="33" spans="1:7" x14ac:dyDescent="0.25">
      <c r="A33" t="s">
        <v>36</v>
      </c>
      <c r="B33" t="s">
        <v>6</v>
      </c>
      <c r="C33" t="s">
        <v>23</v>
      </c>
      <c r="D33">
        <v>15000</v>
      </c>
      <c r="E33">
        <f>D33*0.8</f>
        <v>12000</v>
      </c>
      <c r="F33">
        <f t="shared" ref="F33:G33" si="1">E33*0.8</f>
        <v>9600</v>
      </c>
      <c r="G33">
        <f t="shared" si="1"/>
        <v>7680</v>
      </c>
    </row>
    <row r="34" spans="1:7" x14ac:dyDescent="0.25">
      <c r="B34" t="s">
        <v>7</v>
      </c>
      <c r="C34" t="s">
        <v>23</v>
      </c>
      <c r="D34">
        <v>0</v>
      </c>
      <c r="E34">
        <v>0</v>
      </c>
      <c r="F34">
        <v>0</v>
      </c>
      <c r="G34">
        <v>0</v>
      </c>
    </row>
    <row r="35" spans="1:7" x14ac:dyDescent="0.25">
      <c r="B35" t="s">
        <v>8</v>
      </c>
      <c r="C35" t="s">
        <v>22</v>
      </c>
      <c r="D35">
        <v>0</v>
      </c>
      <c r="E35">
        <v>0</v>
      </c>
      <c r="F35">
        <v>0</v>
      </c>
      <c r="G35">
        <v>0</v>
      </c>
    </row>
    <row r="36" spans="1:7" x14ac:dyDescent="0.25">
      <c r="B36" t="s">
        <v>9</v>
      </c>
      <c r="C36" t="s">
        <v>20</v>
      </c>
      <c r="D36">
        <v>2.16</v>
      </c>
      <c r="E36">
        <v>2.16</v>
      </c>
      <c r="F36">
        <v>2.16</v>
      </c>
      <c r="G36">
        <v>2.16</v>
      </c>
    </row>
    <row r="37" spans="1:7" x14ac:dyDescent="0.25">
      <c r="B37" t="s">
        <v>10</v>
      </c>
      <c r="C37" t="s">
        <v>11</v>
      </c>
      <c r="D37">
        <v>12</v>
      </c>
      <c r="E37">
        <v>12</v>
      </c>
      <c r="F37">
        <v>12</v>
      </c>
      <c r="G37">
        <v>12</v>
      </c>
    </row>
    <row r="38" spans="1:7" x14ac:dyDescent="0.25">
      <c r="B38" t="s">
        <v>44</v>
      </c>
      <c r="C38" t="s">
        <v>45</v>
      </c>
      <c r="D38">
        <v>0.25</v>
      </c>
    </row>
    <row r="39" spans="1:7" x14ac:dyDescent="0.25">
      <c r="A39" t="s">
        <v>40</v>
      </c>
      <c r="B39" t="s">
        <v>6</v>
      </c>
      <c r="C39" t="s">
        <v>21</v>
      </c>
      <c r="D39">
        <v>300</v>
      </c>
    </row>
    <row r="40" spans="1:7" x14ac:dyDescent="0.25">
      <c r="B40" t="s">
        <v>7</v>
      </c>
      <c r="C40" t="s">
        <v>21</v>
      </c>
      <c r="D40">
        <v>0</v>
      </c>
    </row>
    <row r="41" spans="1:7" x14ac:dyDescent="0.25">
      <c r="B41" t="s">
        <v>8</v>
      </c>
      <c r="C41" t="s">
        <v>22</v>
      </c>
      <c r="D41">
        <v>0</v>
      </c>
    </row>
    <row r="42" spans="1:7" x14ac:dyDescent="0.25">
      <c r="B42" t="s">
        <v>9</v>
      </c>
      <c r="D42">
        <v>0.7</v>
      </c>
      <c r="G42">
        <v>0.9</v>
      </c>
    </row>
    <row r="43" spans="1:7" x14ac:dyDescent="0.25">
      <c r="B43" t="s">
        <v>10</v>
      </c>
      <c r="C43" t="s">
        <v>11</v>
      </c>
      <c r="D43">
        <v>10</v>
      </c>
    </row>
    <row r="44" spans="1:7" x14ac:dyDescent="0.25">
      <c r="E44" s="1"/>
      <c r="F44" s="1"/>
      <c r="G44" s="1"/>
    </row>
    <row r="45" spans="1:7" x14ac:dyDescent="0.25">
      <c r="E45" s="1"/>
      <c r="F45" s="1"/>
      <c r="G45" s="1"/>
    </row>
    <row r="46" spans="1:7" x14ac:dyDescent="0.25">
      <c r="E46" s="1"/>
      <c r="F46" s="1"/>
      <c r="G46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CB0D479BCA98E4280CC51665F30085C" ma:contentTypeVersion="12" ma:contentTypeDescription="Create a new document." ma:contentTypeScope="" ma:versionID="fdc043923e2ffcb4ad7f9d90ab37cd94">
  <xsd:schema xmlns:xsd="http://www.w3.org/2001/XMLSchema" xmlns:xs="http://www.w3.org/2001/XMLSchema" xmlns:p="http://schemas.microsoft.com/office/2006/metadata/properties" xmlns:ns2="5d203396-aaa5-4b95-aaf4-0597753a717c" xmlns:ns3="74fe0ab1-18c9-43e5-9e82-833a9cfcb70c" targetNamespace="http://schemas.microsoft.com/office/2006/metadata/properties" ma:root="true" ma:fieldsID="851f64abac87a367f28ccbc1c1f2af1c" ns2:_="" ns3:_="">
    <xsd:import namespace="5d203396-aaa5-4b95-aaf4-0597753a717c"/>
    <xsd:import namespace="74fe0ab1-18c9-43e5-9e82-833a9cfcb7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203396-aaa5-4b95-aaf4-0597753a71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9b6ca76-abda-4f5c-bf70-6374a71c10d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fe0ab1-18c9-43e5-9e82-833a9cfcb70c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cc8c7abe-cc5a-46a2-aa9e-4b348dc345b6}" ma:internalName="TaxCatchAll" ma:showField="CatchAllData" ma:web="74fe0ab1-18c9-43e5-9e82-833a9cfcb7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203396-aaa5-4b95-aaf4-0597753a717c">
      <Terms xmlns="http://schemas.microsoft.com/office/infopath/2007/PartnerControls"/>
    </lcf76f155ced4ddcb4097134ff3c332f>
    <TaxCatchAll xmlns="74fe0ab1-18c9-43e5-9e82-833a9cfcb70c" xsi:nil="true"/>
  </documentManagement>
</p:properties>
</file>

<file path=customXml/itemProps1.xml><?xml version="1.0" encoding="utf-8"?>
<ds:datastoreItem xmlns:ds="http://schemas.openxmlformats.org/officeDocument/2006/customXml" ds:itemID="{0DF46C57-D801-48BD-BEB7-4B3AAAC670BE}"/>
</file>

<file path=customXml/itemProps2.xml><?xml version="1.0" encoding="utf-8"?>
<ds:datastoreItem xmlns:ds="http://schemas.openxmlformats.org/officeDocument/2006/customXml" ds:itemID="{DFD4B3F9-FE24-4F6D-ADDA-50A4A307616E}"/>
</file>

<file path=customXml/itemProps3.xml><?xml version="1.0" encoding="utf-8"?>
<ds:datastoreItem xmlns:ds="http://schemas.openxmlformats.org/officeDocument/2006/customXml" ds:itemID="{9F1CCDC3-A003-4784-8D97-8E8D89E835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static_parameters</vt:lpstr>
      <vt:lpstr>dynamic_parameters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Dalla Longa, F. (Francesco)</cp:lastModifiedBy>
  <dcterms:created xsi:type="dcterms:W3CDTF">2015-06-05T18:17:20Z</dcterms:created>
  <dcterms:modified xsi:type="dcterms:W3CDTF">2026-07-31T08:55:35Z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0x0101009CB0D479BCA98E4280CC51665F30085C</vt:lpwstr>
  </property>
</Properties>
</file>